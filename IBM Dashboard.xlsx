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cskul\OneDrive\Desktop\Excel Dashboard\"/>
    </mc:Choice>
  </mc:AlternateContent>
  <xr:revisionPtr revIDLastSave="0" documentId="13_ncr:1_{62DF34C2-112A-4E1A-A1EF-F6A6E43CD50B}" xr6:coauthVersionLast="47" xr6:coauthVersionMax="47" xr10:uidLastSave="{00000000-0000-0000-0000-000000000000}"/>
  <bookViews>
    <workbookView xWindow="-108" yWindow="-108" windowWidth="23256" windowHeight="12456" activeTab="1" xr2:uid="{7CC5455C-2A71-4F9C-BC87-64EF5D08E7C7}"/>
  </bookViews>
  <sheets>
    <sheet name="PIVOTS" sheetId="3" r:id="rId1"/>
    <sheet name="Sheet4" sheetId="4" r:id="rId2"/>
    <sheet name="Data" sheetId="1" r:id="rId3"/>
    <sheet name="KPI" sheetId="2" r:id="rId4"/>
  </sheets>
  <definedNames>
    <definedName name="Slicer_Gender">#N/A</definedName>
    <definedName name="Slicer_Income_Group">#N/A</definedName>
    <definedName name="Slicer_OverTime">#N/A</definedName>
    <definedName name="Slicer_TrainingTimes">#N/A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<sst xmlns="http://schemas.openxmlformats.org/spreadsheetml/2006/main" count="57" uniqueCount="37">
  <si>
    <t>TrainingTimes</t>
  </si>
  <si>
    <t>Avg_Tenure</t>
  </si>
  <si>
    <t>Total</t>
  </si>
  <si>
    <t>Attrition_Rate</t>
  </si>
  <si>
    <t>Avg_Satisfaction</t>
  </si>
  <si>
    <t>Avg_WorkLifeBalance</t>
  </si>
  <si>
    <t>Avg_Involvement</t>
  </si>
  <si>
    <t>Total_Employees</t>
  </si>
  <si>
    <t>Gender</t>
  </si>
  <si>
    <t>Avg_Income</t>
  </si>
  <si>
    <t>Avg_Promotion_Gap</t>
  </si>
  <si>
    <t>Female</t>
  </si>
  <si>
    <t>Male</t>
  </si>
  <si>
    <t>Income_Group</t>
  </si>
  <si>
    <t>Avg_Hike</t>
  </si>
  <si>
    <t>Other</t>
  </si>
  <si>
    <t>Low Income</t>
  </si>
  <si>
    <t>OverTime</t>
  </si>
  <si>
    <t>Avg_Env_Sat</t>
  </si>
  <si>
    <t>Count</t>
  </si>
  <si>
    <t>No</t>
  </si>
  <si>
    <t>Yes</t>
  </si>
  <si>
    <t>Training Time V/S Attrition Rate</t>
  </si>
  <si>
    <t>Row Labels</t>
  </si>
  <si>
    <t>Grand Total</t>
  </si>
  <si>
    <t>Sum of Total</t>
  </si>
  <si>
    <t>Sum of Attrition_Rate</t>
  </si>
  <si>
    <t>Average of Avg_Tenure</t>
  </si>
  <si>
    <t>Genderwise Income &amp; Attrition Rate</t>
  </si>
  <si>
    <t>Average of Avg_Income</t>
  </si>
  <si>
    <t>Average of Avg_Promotion_Gap</t>
  </si>
  <si>
    <t>Average of Attrition_Rate</t>
  </si>
  <si>
    <t>Income Group Analysis</t>
  </si>
  <si>
    <t>Sum of Avg_Hike</t>
  </si>
  <si>
    <t>Overtime &amp; Environment Satisfaction</t>
  </si>
  <si>
    <t>Sum of Avg_Env_Sat</t>
  </si>
  <si>
    <t>Sum of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</si>
</sst>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rial"/>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0000"/>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2">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2" fillId="0" borderId="0" xfId="0" applyFont="1" applyAlignment="1">
      <alignment vertical="center"/>
    </xf>
    <xf numFmtId="0" fontId="0" fillId="0" borderId="0" xfId="0" applyAlignment="1">
      <alignment vertical="center"/>
    </xf>
    <xf numFmtId="0" fontId="0" fillId="0" borderId="0" xfId="0" pivotButton="1"/>
    <xf numFmtId="0" fontId="0" fillId="0" borderId="0" xfId="0" applyAlignment="1">
      <alignment horizontal="left"/>
    </xf>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FF3300"/>
      <color rgb="FF00204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Dashboard.xlsx]PIVOTS!PivotTable1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c:f>
              <c:strCache>
                <c:ptCount val="1"/>
                <c:pt idx="0">
                  <c:v>Average of Avg_Tenure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PIVOTS!$A$4:$A$11</c:f>
              <c:strCache>
                <c:ptCount val="7"/>
                <c:pt idx="0">
                  <c:v>0</c:v>
                </c:pt>
                <c:pt idx="1">
                  <c:v>1</c:v>
                </c:pt>
                <c:pt idx="2">
                  <c:v>2</c:v>
                </c:pt>
                <c:pt idx="3">
                  <c:v>3</c:v>
                </c:pt>
                <c:pt idx="4">
                  <c:v>4</c:v>
                </c:pt>
                <c:pt idx="5">
                  <c:v>5</c:v>
                </c:pt>
                <c:pt idx="6">
                  <c:v>6</c:v>
                </c:pt>
              </c:strCache>
            </c:strRef>
          </c:cat>
          <c:val>
            <c:numRef>
              <c:f>PIVOTS!$B$4:$B$11</c:f>
              <c:numCache>
                <c:formatCode>General</c:formatCode>
                <c:ptCount val="7"/>
                <c:pt idx="0">
                  <c:v>1.125</c:v>
                </c:pt>
                <c:pt idx="1">
                  <c:v>2</c:v>
                </c:pt>
                <c:pt idx="2">
                  <c:v>1.4</c:v>
                </c:pt>
                <c:pt idx="3">
                  <c:v>1.5370370369999999</c:v>
                </c:pt>
                <c:pt idx="4">
                  <c:v>1.4285714279999999</c:v>
                </c:pt>
                <c:pt idx="5">
                  <c:v>1.125</c:v>
                </c:pt>
                <c:pt idx="6">
                  <c:v>1.111111111</c:v>
                </c:pt>
              </c:numCache>
            </c:numRef>
          </c:val>
          <c:smooth val="0"/>
          <c:extLst>
            <c:ext xmlns:c16="http://schemas.microsoft.com/office/drawing/2014/chart" uri="{C3380CC4-5D6E-409C-BE32-E72D297353CC}">
              <c16:uniqueId val="{00000000-D57B-4009-9CF8-A7BFC31231AF}"/>
            </c:ext>
          </c:extLst>
        </c:ser>
        <c:ser>
          <c:idx val="1"/>
          <c:order val="1"/>
          <c:tx>
            <c:strRef>
              <c:f>PIVOTS!$C$3</c:f>
              <c:strCache>
                <c:ptCount val="1"/>
                <c:pt idx="0">
                  <c:v>Sum of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PIVOTS!$A$4:$A$11</c:f>
              <c:strCache>
                <c:ptCount val="7"/>
                <c:pt idx="0">
                  <c:v>0</c:v>
                </c:pt>
                <c:pt idx="1">
                  <c:v>1</c:v>
                </c:pt>
                <c:pt idx="2">
                  <c:v>2</c:v>
                </c:pt>
                <c:pt idx="3">
                  <c:v>3</c:v>
                </c:pt>
                <c:pt idx="4">
                  <c:v>4</c:v>
                </c:pt>
                <c:pt idx="5">
                  <c:v>5</c:v>
                </c:pt>
                <c:pt idx="6">
                  <c:v>6</c:v>
                </c:pt>
              </c:strCache>
            </c:strRef>
          </c:cat>
          <c:val>
            <c:numRef>
              <c:f>PIVOTS!$C$4:$C$11</c:f>
              <c:numCache>
                <c:formatCode>General</c:formatCode>
                <c:ptCount val="7"/>
                <c:pt idx="0">
                  <c:v>8</c:v>
                </c:pt>
                <c:pt idx="1">
                  <c:v>4</c:v>
                </c:pt>
                <c:pt idx="2">
                  <c:v>60</c:v>
                </c:pt>
                <c:pt idx="3">
                  <c:v>54</c:v>
                </c:pt>
                <c:pt idx="4">
                  <c:v>14</c:v>
                </c:pt>
                <c:pt idx="5">
                  <c:v>16</c:v>
                </c:pt>
                <c:pt idx="6">
                  <c:v>9</c:v>
                </c:pt>
              </c:numCache>
            </c:numRef>
          </c:val>
          <c:smooth val="0"/>
          <c:extLst>
            <c:ext xmlns:c16="http://schemas.microsoft.com/office/drawing/2014/chart" uri="{C3380CC4-5D6E-409C-BE32-E72D297353CC}">
              <c16:uniqueId val="{00000001-D57B-4009-9CF8-A7BFC31231AF}"/>
            </c:ext>
          </c:extLst>
        </c:ser>
        <c:ser>
          <c:idx val="2"/>
          <c:order val="2"/>
          <c:tx>
            <c:strRef>
              <c:f>PIVOTS!$D$3</c:f>
              <c:strCache>
                <c:ptCount val="1"/>
                <c:pt idx="0">
                  <c:v>Sum of Attrition_Rate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PIVOTS!$A$4:$A$11</c:f>
              <c:strCache>
                <c:ptCount val="7"/>
                <c:pt idx="0">
                  <c:v>0</c:v>
                </c:pt>
                <c:pt idx="1">
                  <c:v>1</c:v>
                </c:pt>
                <c:pt idx="2">
                  <c:v>2</c:v>
                </c:pt>
                <c:pt idx="3">
                  <c:v>3</c:v>
                </c:pt>
                <c:pt idx="4">
                  <c:v>4</c:v>
                </c:pt>
                <c:pt idx="5">
                  <c:v>5</c:v>
                </c:pt>
                <c:pt idx="6">
                  <c:v>6</c:v>
                </c:pt>
              </c:strCache>
            </c:strRef>
          </c:cat>
          <c:val>
            <c:numRef>
              <c:f>PIVOTS!$D$4:$D$11</c:f>
              <c:numCache>
                <c:formatCode>General</c:formatCode>
                <c:ptCount val="7"/>
                <c:pt idx="0">
                  <c:v>62.5</c:v>
                </c:pt>
                <c:pt idx="1">
                  <c:v>25</c:v>
                </c:pt>
                <c:pt idx="2">
                  <c:v>36.666666665999998</c:v>
                </c:pt>
                <c:pt idx="3">
                  <c:v>42.592592592000003</c:v>
                </c:pt>
                <c:pt idx="4">
                  <c:v>28.571428570999998</c:v>
                </c:pt>
                <c:pt idx="5">
                  <c:v>37.5</c:v>
                </c:pt>
                <c:pt idx="6">
                  <c:v>22.222222221999999</c:v>
                </c:pt>
              </c:numCache>
            </c:numRef>
          </c:val>
          <c:smooth val="0"/>
          <c:extLst>
            <c:ext xmlns:c16="http://schemas.microsoft.com/office/drawing/2014/chart" uri="{C3380CC4-5D6E-409C-BE32-E72D297353CC}">
              <c16:uniqueId val="{00000002-D57B-4009-9CF8-A7BFC31231AF}"/>
            </c:ext>
          </c:extLst>
        </c:ser>
        <c:dLbls>
          <c:showLegendKey val="0"/>
          <c:showVal val="0"/>
          <c:showCatName val="0"/>
          <c:showSerName val="0"/>
          <c:showPercent val="0"/>
          <c:showBubbleSize val="0"/>
        </c:dLbls>
        <c:marker val="1"/>
        <c:smooth val="0"/>
        <c:axId val="639833631"/>
        <c:axId val="639834111"/>
      </c:lineChart>
      <c:catAx>
        <c:axId val="6398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34111"/>
        <c:crosses val="autoZero"/>
        <c:auto val="1"/>
        <c:lblAlgn val="ctr"/>
        <c:lblOffset val="100"/>
        <c:noMultiLvlLbl val="0"/>
      </c:catAx>
      <c:valAx>
        <c:axId val="63983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Dashboard.xlsx]PIVOTS!PivotTable2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c:f>
              <c:strCache>
                <c:ptCount val="1"/>
                <c:pt idx="0">
                  <c:v>Average of Avg_Income</c:v>
                </c:pt>
              </c:strCache>
            </c:strRef>
          </c:tx>
          <c:spPr>
            <a:solidFill>
              <a:schemeClr val="accent1"/>
            </a:solidFill>
            <a:ln>
              <a:noFill/>
            </a:ln>
            <a:effectLst/>
          </c:spPr>
          <c:invertIfNegative val="0"/>
          <c:cat>
            <c:strRef>
              <c:f>PIVOTS!$A$16:$A$18</c:f>
              <c:strCache>
                <c:ptCount val="2"/>
                <c:pt idx="0">
                  <c:v>Female</c:v>
                </c:pt>
                <c:pt idx="1">
                  <c:v>Male</c:v>
                </c:pt>
              </c:strCache>
            </c:strRef>
          </c:cat>
          <c:val>
            <c:numRef>
              <c:f>PIVOTS!$B$16:$B$18</c:f>
              <c:numCache>
                <c:formatCode>General</c:formatCode>
                <c:ptCount val="2"/>
                <c:pt idx="0">
                  <c:v>6686.56632653</c:v>
                </c:pt>
                <c:pt idx="1">
                  <c:v>6380.5079365069996</c:v>
                </c:pt>
              </c:numCache>
            </c:numRef>
          </c:val>
          <c:extLst>
            <c:ext xmlns:c16="http://schemas.microsoft.com/office/drawing/2014/chart" uri="{C3380CC4-5D6E-409C-BE32-E72D297353CC}">
              <c16:uniqueId val="{00000000-C96C-4EA6-886D-1946D386DDBB}"/>
            </c:ext>
          </c:extLst>
        </c:ser>
        <c:ser>
          <c:idx val="1"/>
          <c:order val="1"/>
          <c:tx>
            <c:strRef>
              <c:f>PIVOTS!$C$15</c:f>
              <c:strCache>
                <c:ptCount val="1"/>
                <c:pt idx="0">
                  <c:v>Average of Avg_Promotion_Gap</c:v>
                </c:pt>
              </c:strCache>
            </c:strRef>
          </c:tx>
          <c:spPr>
            <a:solidFill>
              <a:schemeClr val="accent2"/>
            </a:solidFill>
            <a:ln>
              <a:noFill/>
            </a:ln>
            <a:effectLst/>
          </c:spPr>
          <c:invertIfNegative val="0"/>
          <c:cat>
            <c:strRef>
              <c:f>PIVOTS!$A$16:$A$18</c:f>
              <c:strCache>
                <c:ptCount val="2"/>
                <c:pt idx="0">
                  <c:v>Female</c:v>
                </c:pt>
                <c:pt idx="1">
                  <c:v>Male</c:v>
                </c:pt>
              </c:strCache>
            </c:strRef>
          </c:cat>
          <c:val>
            <c:numRef>
              <c:f>PIVOTS!$C$16:$C$18</c:f>
              <c:numCache>
                <c:formatCode>General</c:formatCode>
                <c:ptCount val="2"/>
                <c:pt idx="0">
                  <c:v>2.2942176870000002</c:v>
                </c:pt>
                <c:pt idx="1">
                  <c:v>2.1167800450000001</c:v>
                </c:pt>
              </c:numCache>
            </c:numRef>
          </c:val>
          <c:extLst>
            <c:ext xmlns:c16="http://schemas.microsoft.com/office/drawing/2014/chart" uri="{C3380CC4-5D6E-409C-BE32-E72D297353CC}">
              <c16:uniqueId val="{00000001-C96C-4EA6-886D-1946D386DDBB}"/>
            </c:ext>
          </c:extLst>
        </c:ser>
        <c:ser>
          <c:idx val="2"/>
          <c:order val="2"/>
          <c:tx>
            <c:strRef>
              <c:f>PIVOTS!$D$15</c:f>
              <c:strCache>
                <c:ptCount val="1"/>
                <c:pt idx="0">
                  <c:v>Average of Attrition_Rate</c:v>
                </c:pt>
              </c:strCache>
            </c:strRef>
          </c:tx>
          <c:spPr>
            <a:solidFill>
              <a:schemeClr val="accent3"/>
            </a:solidFill>
            <a:ln>
              <a:noFill/>
            </a:ln>
            <a:effectLst/>
          </c:spPr>
          <c:invertIfNegative val="0"/>
          <c:cat>
            <c:strRef>
              <c:f>PIVOTS!$A$16:$A$18</c:f>
              <c:strCache>
                <c:ptCount val="2"/>
                <c:pt idx="0">
                  <c:v>Female</c:v>
                </c:pt>
                <c:pt idx="1">
                  <c:v>Male</c:v>
                </c:pt>
              </c:strCache>
            </c:strRef>
          </c:cat>
          <c:val>
            <c:numRef>
              <c:f>PIVOTS!$D$16:$D$18</c:f>
              <c:numCache>
                <c:formatCode>General</c:formatCode>
                <c:ptCount val="2"/>
                <c:pt idx="0">
                  <c:v>14.795918367000001</c:v>
                </c:pt>
                <c:pt idx="1">
                  <c:v>17.006802721</c:v>
                </c:pt>
              </c:numCache>
            </c:numRef>
          </c:val>
          <c:extLst>
            <c:ext xmlns:c16="http://schemas.microsoft.com/office/drawing/2014/chart" uri="{C3380CC4-5D6E-409C-BE32-E72D297353CC}">
              <c16:uniqueId val="{00000002-C96C-4EA6-886D-1946D386DDBB}"/>
            </c:ext>
          </c:extLst>
        </c:ser>
        <c:dLbls>
          <c:showLegendKey val="0"/>
          <c:showVal val="0"/>
          <c:showCatName val="0"/>
          <c:showSerName val="0"/>
          <c:showPercent val="0"/>
          <c:showBubbleSize val="0"/>
        </c:dLbls>
        <c:gapWidth val="219"/>
        <c:overlap val="-27"/>
        <c:axId val="897333215"/>
        <c:axId val="897333695"/>
      </c:barChart>
      <c:catAx>
        <c:axId val="8973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33695"/>
        <c:crosses val="autoZero"/>
        <c:auto val="1"/>
        <c:lblAlgn val="ctr"/>
        <c:lblOffset val="100"/>
        <c:noMultiLvlLbl val="0"/>
      </c:catAx>
      <c:valAx>
        <c:axId val="89733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3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Dashboard.xlsx]PIVOTS!PivotTable3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PIVOTS!$B$21</c:f>
              <c:strCache>
                <c:ptCount val="1"/>
                <c:pt idx="0">
                  <c:v>Sum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67-44A0-9196-AF1BE1D07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67-44A0-9196-AF1BE1D07121}"/>
              </c:ext>
            </c:extLst>
          </c:dPt>
          <c:cat>
            <c:strRef>
              <c:f>PIVOTS!$A$22:$A$24</c:f>
              <c:strCache>
                <c:ptCount val="2"/>
                <c:pt idx="0">
                  <c:v>Low Income</c:v>
                </c:pt>
                <c:pt idx="1">
                  <c:v>Other</c:v>
                </c:pt>
              </c:strCache>
            </c:strRef>
          </c:cat>
          <c:val>
            <c:numRef>
              <c:f>PIVOTS!$B$22:$B$24</c:f>
              <c:numCache>
                <c:formatCode>General</c:formatCode>
                <c:ptCount val="2"/>
                <c:pt idx="0">
                  <c:v>395</c:v>
                </c:pt>
                <c:pt idx="1">
                  <c:v>1075</c:v>
                </c:pt>
              </c:numCache>
            </c:numRef>
          </c:val>
          <c:extLst>
            <c:ext xmlns:c16="http://schemas.microsoft.com/office/drawing/2014/chart" uri="{C3380CC4-5D6E-409C-BE32-E72D297353CC}">
              <c16:uniqueId val="{00000004-5767-44A0-9196-AF1BE1D07121}"/>
            </c:ext>
          </c:extLst>
        </c:ser>
        <c:ser>
          <c:idx val="1"/>
          <c:order val="1"/>
          <c:tx>
            <c:strRef>
              <c:f>PIVOTS!$C$21</c:f>
              <c:strCache>
                <c:ptCount val="1"/>
                <c:pt idx="0">
                  <c:v>Sum of Avg_Hike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767-44A0-9196-AF1BE1D07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767-44A0-9196-AF1BE1D07121}"/>
              </c:ext>
            </c:extLst>
          </c:dPt>
          <c:cat>
            <c:strRef>
              <c:f>PIVOTS!$A$22:$A$24</c:f>
              <c:strCache>
                <c:ptCount val="2"/>
                <c:pt idx="0">
                  <c:v>Low Income</c:v>
                </c:pt>
                <c:pt idx="1">
                  <c:v>Other</c:v>
                </c:pt>
              </c:strCache>
            </c:strRef>
          </c:cat>
          <c:val>
            <c:numRef>
              <c:f>PIVOTS!$C$22:$C$24</c:f>
              <c:numCache>
                <c:formatCode>General</c:formatCode>
                <c:ptCount val="2"/>
                <c:pt idx="0">
                  <c:v>15.4</c:v>
                </c:pt>
                <c:pt idx="1">
                  <c:v>15.139534883</c:v>
                </c:pt>
              </c:numCache>
            </c:numRef>
          </c:val>
          <c:extLst>
            <c:ext xmlns:c16="http://schemas.microsoft.com/office/drawing/2014/chart" uri="{C3380CC4-5D6E-409C-BE32-E72D297353CC}">
              <c16:uniqueId val="{00000009-5767-44A0-9196-AF1BE1D07121}"/>
            </c:ext>
          </c:extLst>
        </c:ser>
        <c:ser>
          <c:idx val="2"/>
          <c:order val="2"/>
          <c:tx>
            <c:strRef>
              <c:f>PIVOTS!$D$21</c:f>
              <c:strCache>
                <c:ptCount val="1"/>
                <c:pt idx="0">
                  <c:v>Average of Attrition_Rate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767-44A0-9196-AF1BE1D07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767-44A0-9196-AF1BE1D07121}"/>
              </c:ext>
            </c:extLst>
          </c:dPt>
          <c:cat>
            <c:strRef>
              <c:f>PIVOTS!$A$22:$A$24</c:f>
              <c:strCache>
                <c:ptCount val="2"/>
                <c:pt idx="0">
                  <c:v>Low Income</c:v>
                </c:pt>
                <c:pt idx="1">
                  <c:v>Other</c:v>
                </c:pt>
              </c:strCache>
            </c:strRef>
          </c:cat>
          <c:val>
            <c:numRef>
              <c:f>PIVOTS!$D$22:$D$24</c:f>
              <c:numCache>
                <c:formatCode>General</c:formatCode>
                <c:ptCount val="2"/>
                <c:pt idx="0">
                  <c:v>28.607594936000002</c:v>
                </c:pt>
                <c:pt idx="1">
                  <c:v>11.53488372</c:v>
                </c:pt>
              </c:numCache>
            </c:numRef>
          </c:val>
          <c:extLst>
            <c:ext xmlns:c16="http://schemas.microsoft.com/office/drawing/2014/chart" uri="{C3380CC4-5D6E-409C-BE32-E72D297353CC}">
              <c16:uniqueId val="{0000000E-5767-44A0-9196-AF1BE1D071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Dashboard.xlsx]PIVOTS!PivotTable5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PIVOTS!$B$27</c:f>
              <c:strCache>
                <c:ptCount val="1"/>
                <c:pt idx="0">
                  <c:v>Sum of Avg_Env_Sat</c:v>
                </c:pt>
              </c:strCache>
            </c:strRef>
          </c:tx>
          <c:spPr>
            <a:solidFill>
              <a:schemeClr val="accent1"/>
            </a:solidFill>
            <a:ln>
              <a:noFill/>
            </a:ln>
            <a:effectLst/>
          </c:spPr>
          <c:invertIfNegative val="0"/>
          <c:cat>
            <c:strRef>
              <c:f>PIVOTS!$A$28:$A$30</c:f>
              <c:strCache>
                <c:ptCount val="2"/>
                <c:pt idx="0">
                  <c:v>No</c:v>
                </c:pt>
                <c:pt idx="1">
                  <c:v>Yes</c:v>
                </c:pt>
              </c:strCache>
            </c:strRef>
          </c:cat>
          <c:val>
            <c:numRef>
              <c:f>PIVOTS!$B$28:$B$30</c:f>
              <c:numCache>
                <c:formatCode>General</c:formatCode>
                <c:ptCount val="2"/>
                <c:pt idx="0">
                  <c:v>2.6942028979999999</c:v>
                </c:pt>
                <c:pt idx="1">
                  <c:v>2.870848708</c:v>
                </c:pt>
              </c:numCache>
            </c:numRef>
          </c:val>
          <c:extLst>
            <c:ext xmlns:c16="http://schemas.microsoft.com/office/drawing/2014/chart" uri="{C3380CC4-5D6E-409C-BE32-E72D297353CC}">
              <c16:uniqueId val="{00000000-5650-4D66-828F-6C0C009ABBC6}"/>
            </c:ext>
          </c:extLst>
        </c:ser>
        <c:ser>
          <c:idx val="1"/>
          <c:order val="1"/>
          <c:tx>
            <c:strRef>
              <c:f>PIVOTS!$C$27</c:f>
              <c:strCache>
                <c:ptCount val="1"/>
                <c:pt idx="0">
                  <c:v>Sum of Count</c:v>
                </c:pt>
              </c:strCache>
            </c:strRef>
          </c:tx>
          <c:spPr>
            <a:solidFill>
              <a:srgbClr val="00204F"/>
            </a:solidFill>
            <a:ln>
              <a:noFill/>
            </a:ln>
            <a:effectLst/>
          </c:spPr>
          <c:invertIfNegative val="0"/>
          <c:cat>
            <c:strRef>
              <c:f>PIVOTS!$A$28:$A$30</c:f>
              <c:strCache>
                <c:ptCount val="2"/>
                <c:pt idx="0">
                  <c:v>No</c:v>
                </c:pt>
                <c:pt idx="1">
                  <c:v>Yes</c:v>
                </c:pt>
              </c:strCache>
            </c:strRef>
          </c:cat>
          <c:val>
            <c:numRef>
              <c:f>PIVOTS!$C$28:$C$30</c:f>
              <c:numCache>
                <c:formatCode>General</c:formatCode>
                <c:ptCount val="2"/>
                <c:pt idx="0">
                  <c:v>690</c:v>
                </c:pt>
                <c:pt idx="1">
                  <c:v>271</c:v>
                </c:pt>
              </c:numCache>
            </c:numRef>
          </c:val>
          <c:extLst>
            <c:ext xmlns:c16="http://schemas.microsoft.com/office/drawing/2014/chart" uri="{C3380CC4-5D6E-409C-BE32-E72D297353CC}">
              <c16:uniqueId val="{00000001-5650-4D66-828F-6C0C009ABBC6}"/>
            </c:ext>
          </c:extLst>
        </c:ser>
        <c:ser>
          <c:idx val="2"/>
          <c:order val="2"/>
          <c:tx>
            <c:strRef>
              <c:f>PIVOTS!$D$27</c:f>
              <c:strCache>
                <c:ptCount val="1"/>
                <c:pt idx="0">
                  <c:v>Average of Attrition_Rate</c:v>
                </c:pt>
              </c:strCache>
            </c:strRef>
          </c:tx>
          <c:spPr>
            <a:solidFill>
              <a:srgbClr val="FF3300"/>
            </a:solidFill>
            <a:ln>
              <a:noFill/>
            </a:ln>
            <a:effectLst/>
          </c:spPr>
          <c:invertIfNegative val="0"/>
          <c:cat>
            <c:strRef>
              <c:f>PIVOTS!$A$28:$A$30</c:f>
              <c:strCache>
                <c:ptCount val="2"/>
                <c:pt idx="0">
                  <c:v>No</c:v>
                </c:pt>
                <c:pt idx="1">
                  <c:v>Yes</c:v>
                </c:pt>
              </c:strCache>
            </c:strRef>
          </c:cat>
          <c:val>
            <c:numRef>
              <c:f>PIVOTS!$D$28:$D$30</c:f>
              <c:numCache>
                <c:formatCode>General</c:formatCode>
                <c:ptCount val="2"/>
                <c:pt idx="0">
                  <c:v>8.5507246370000001</c:v>
                </c:pt>
                <c:pt idx="1">
                  <c:v>27.306273061999999</c:v>
                </c:pt>
              </c:numCache>
            </c:numRef>
          </c:val>
          <c:extLst>
            <c:ext xmlns:c16="http://schemas.microsoft.com/office/drawing/2014/chart" uri="{C3380CC4-5D6E-409C-BE32-E72D297353CC}">
              <c16:uniqueId val="{00000002-5650-4D66-828F-6C0C009ABBC6}"/>
            </c:ext>
          </c:extLst>
        </c:ser>
        <c:dLbls>
          <c:showLegendKey val="0"/>
          <c:showVal val="0"/>
          <c:showCatName val="0"/>
          <c:showSerName val="0"/>
          <c:showPercent val="0"/>
          <c:showBubbleSize val="0"/>
        </c:dLbls>
        <c:gapWidth val="150"/>
        <c:overlap val="100"/>
        <c:axId val="992945263"/>
        <c:axId val="992944303"/>
      </c:barChart>
      <c:catAx>
        <c:axId val="99294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44303"/>
        <c:crosses val="autoZero"/>
        <c:auto val="1"/>
        <c:lblAlgn val="ctr"/>
        <c:lblOffset val="100"/>
        <c:noMultiLvlLbl val="0"/>
      </c:catAx>
      <c:valAx>
        <c:axId val="992944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45263"/>
        <c:crosses val="autoZero"/>
        <c:crossBetween val="between"/>
      </c:valAx>
      <c:spPr>
        <a:solidFill>
          <a:srgbClr val="000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45720</xdr:rowOff>
    </xdr:from>
    <xdr:to>
      <xdr:col>8</xdr:col>
      <xdr:colOff>548640</xdr:colOff>
      <xdr:row>4</xdr:row>
      <xdr:rowOff>76200</xdr:rowOff>
    </xdr:to>
    <xdr:sp macro="" textlink="">
      <xdr:nvSpPr>
        <xdr:cNvPr id="2" name="TextBox 1">
          <a:extLst>
            <a:ext uri="{FF2B5EF4-FFF2-40B4-BE49-F238E27FC236}">
              <a16:creationId xmlns:a16="http://schemas.microsoft.com/office/drawing/2014/main" id="{F7193EBF-3D41-B590-13DC-3A7D24330656}"/>
            </a:ext>
          </a:extLst>
        </xdr:cNvPr>
        <xdr:cNvSpPr txBox="1"/>
      </xdr:nvSpPr>
      <xdr:spPr>
        <a:xfrm>
          <a:off x="121920" y="45720"/>
          <a:ext cx="5303520" cy="762000"/>
        </a:xfrm>
        <a:prstGeom prst="roundRect">
          <a:avLst/>
        </a:prstGeom>
        <a:solidFill>
          <a:srgbClr val="00000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IBM </a:t>
          </a:r>
          <a:r>
            <a:rPr lang="en-IN" sz="3200">
              <a:solidFill>
                <a:schemeClr val="bg1"/>
              </a:solidFill>
            </a:rPr>
            <a:t>HR Analytics Dashboard</a:t>
          </a:r>
        </a:p>
      </xdr:txBody>
    </xdr:sp>
    <xdr:clientData/>
  </xdr:twoCellAnchor>
  <xdr:oneCellAnchor>
    <xdr:from>
      <xdr:col>11</xdr:col>
      <xdr:colOff>144780</xdr:colOff>
      <xdr:row>10</xdr:row>
      <xdr:rowOff>38100</xdr:rowOff>
    </xdr:from>
    <xdr:ext cx="184731" cy="264560"/>
    <xdr:sp macro="" textlink="">
      <xdr:nvSpPr>
        <xdr:cNvPr id="3" name="TextBox 2">
          <a:extLst>
            <a:ext uri="{FF2B5EF4-FFF2-40B4-BE49-F238E27FC236}">
              <a16:creationId xmlns:a16="http://schemas.microsoft.com/office/drawing/2014/main" id="{1D9151DC-0308-CC5B-6455-0221F6035D9C}"/>
            </a:ext>
          </a:extLst>
        </xdr:cNvPr>
        <xdr:cNvSpPr txBox="1"/>
      </xdr:nvSpPr>
      <xdr:spPr>
        <a:xfrm>
          <a:off x="6850380"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121920</xdr:colOff>
      <xdr:row>0</xdr:row>
      <xdr:rowOff>53340</xdr:rowOff>
    </xdr:from>
    <xdr:to>
      <xdr:col>22</xdr:col>
      <xdr:colOff>487680</xdr:colOff>
      <xdr:row>4</xdr:row>
      <xdr:rowOff>68580</xdr:rowOff>
    </xdr:to>
    <xdr:sp macro="" textlink="">
      <xdr:nvSpPr>
        <xdr:cNvPr id="4" name="TextBox 3">
          <a:extLst>
            <a:ext uri="{FF2B5EF4-FFF2-40B4-BE49-F238E27FC236}">
              <a16:creationId xmlns:a16="http://schemas.microsoft.com/office/drawing/2014/main" id="{EF77B2B1-953A-5AD4-BB51-D0E1056E79AC}"/>
            </a:ext>
          </a:extLst>
        </xdr:cNvPr>
        <xdr:cNvSpPr txBox="1"/>
      </xdr:nvSpPr>
      <xdr:spPr>
        <a:xfrm>
          <a:off x="5608320" y="53340"/>
          <a:ext cx="8290560" cy="746760"/>
        </a:xfrm>
        <a:prstGeom prst="round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335280</xdr:colOff>
      <xdr:row>1</xdr:row>
      <xdr:rowOff>19050</xdr:rowOff>
    </xdr:from>
    <xdr:to>
      <xdr:col>12</xdr:col>
      <xdr:colOff>144780</xdr:colOff>
      <xdr:row>3</xdr:row>
      <xdr:rowOff>144780</xdr:rowOff>
    </xdr:to>
    <xdr:sp macro="" textlink="">
      <xdr:nvSpPr>
        <xdr:cNvPr id="5" name="TextBox 4">
          <a:extLst>
            <a:ext uri="{FF2B5EF4-FFF2-40B4-BE49-F238E27FC236}">
              <a16:creationId xmlns:a16="http://schemas.microsoft.com/office/drawing/2014/main" id="{7A01BAE9-8D21-A434-F631-4F86D85E3EDE}"/>
            </a:ext>
          </a:extLst>
        </xdr:cNvPr>
        <xdr:cNvSpPr txBox="1"/>
      </xdr:nvSpPr>
      <xdr:spPr>
        <a:xfrm>
          <a:off x="5821680" y="201930"/>
          <a:ext cx="1638300" cy="491490"/>
        </a:xfrm>
        <a:prstGeom prst="rect">
          <a:avLst/>
        </a:prstGeom>
        <a:solidFill>
          <a:srgbClr val="000000"/>
        </a:solidFill>
        <a:ln w="9525" cmpd="sng">
          <a:solidFill>
            <a:srgbClr val="00204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Avg_Satisfaction</a:t>
          </a:r>
          <a:r>
            <a:rPr lang="en-IN" sz="1200" b="1">
              <a:solidFill>
                <a:schemeClr val="bg1"/>
              </a:solidFill>
              <a:effectLst/>
            </a:rPr>
            <a:t> </a:t>
          </a:r>
          <a:r>
            <a:rPr lang="en-IN" sz="1100" b="1" i="0" u="none" strike="noStrike">
              <a:solidFill>
                <a:schemeClr val="bg1"/>
              </a:solidFill>
              <a:effectLst/>
              <a:latin typeface="+mn-lt"/>
              <a:ea typeface="+mn-ea"/>
              <a:cs typeface="+mn-cs"/>
            </a:rPr>
            <a:t>2.736263736</a:t>
          </a:r>
          <a:r>
            <a:rPr lang="en-IN" b="1">
              <a:solidFill>
                <a:schemeClr val="bg1"/>
              </a:solidFill>
              <a:effectLst/>
            </a:rPr>
            <a:t> </a:t>
          </a:r>
          <a:endParaRPr lang="en-IN" sz="1100" b="1">
            <a:solidFill>
              <a:schemeClr val="bg1"/>
            </a:solidFill>
          </a:endParaRPr>
        </a:p>
      </xdr:txBody>
    </xdr:sp>
    <xdr:clientData/>
  </xdr:twoCellAnchor>
  <xdr:twoCellAnchor>
    <xdr:from>
      <xdr:col>12</xdr:col>
      <xdr:colOff>480060</xdr:colOff>
      <xdr:row>1</xdr:row>
      <xdr:rowOff>30480</xdr:rowOff>
    </xdr:from>
    <xdr:to>
      <xdr:col>15</xdr:col>
      <xdr:colOff>541020</xdr:colOff>
      <xdr:row>3</xdr:row>
      <xdr:rowOff>137160</xdr:rowOff>
    </xdr:to>
    <xdr:sp macro="" textlink="">
      <xdr:nvSpPr>
        <xdr:cNvPr id="6" name="TextBox 5">
          <a:extLst>
            <a:ext uri="{FF2B5EF4-FFF2-40B4-BE49-F238E27FC236}">
              <a16:creationId xmlns:a16="http://schemas.microsoft.com/office/drawing/2014/main" id="{61C449DB-2356-4EE0-2A09-D08A3993F251}"/>
            </a:ext>
          </a:extLst>
        </xdr:cNvPr>
        <xdr:cNvSpPr txBox="1"/>
      </xdr:nvSpPr>
      <xdr:spPr>
        <a:xfrm>
          <a:off x="7795260" y="213360"/>
          <a:ext cx="1889760" cy="472440"/>
        </a:xfrm>
        <a:prstGeom prst="rect">
          <a:avLst/>
        </a:prstGeom>
        <a:solidFill>
          <a:srgbClr val="000000"/>
        </a:solidFill>
        <a:ln w="9525" cmpd="sng">
          <a:solidFill>
            <a:srgbClr val="00204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Avg_WorkLifeBalance</a:t>
          </a:r>
          <a:r>
            <a:rPr lang="en-IN" sz="1200" b="1">
              <a:solidFill>
                <a:schemeClr val="bg1"/>
              </a:solidFill>
              <a:effectLst/>
            </a:rPr>
            <a:t> </a:t>
          </a:r>
          <a:r>
            <a:rPr lang="en-IN" sz="1100" b="1" i="0" u="none" strike="noStrike">
              <a:solidFill>
                <a:schemeClr val="bg1"/>
              </a:solidFill>
              <a:effectLst/>
              <a:latin typeface="+mn-lt"/>
              <a:ea typeface="+mn-ea"/>
              <a:cs typeface="+mn-cs"/>
            </a:rPr>
            <a:t>2.805860805</a:t>
          </a:r>
          <a:r>
            <a:rPr lang="en-IN" b="1">
              <a:solidFill>
                <a:schemeClr val="bg1"/>
              </a:solidFill>
              <a:effectLst/>
            </a:rPr>
            <a:t> </a:t>
          </a:r>
          <a:endParaRPr lang="en-IN" sz="1100" b="1">
            <a:solidFill>
              <a:schemeClr val="bg1"/>
            </a:solidFill>
          </a:endParaRPr>
        </a:p>
      </xdr:txBody>
    </xdr:sp>
    <xdr:clientData/>
  </xdr:twoCellAnchor>
  <xdr:twoCellAnchor>
    <xdr:from>
      <xdr:col>16</xdr:col>
      <xdr:colOff>205740</xdr:colOff>
      <xdr:row>1</xdr:row>
      <xdr:rowOff>30480</xdr:rowOff>
    </xdr:from>
    <xdr:to>
      <xdr:col>18</xdr:col>
      <xdr:colOff>586740</xdr:colOff>
      <xdr:row>3</xdr:row>
      <xdr:rowOff>152400</xdr:rowOff>
    </xdr:to>
    <xdr:sp macro="" textlink="">
      <xdr:nvSpPr>
        <xdr:cNvPr id="7" name="TextBox 6">
          <a:extLst>
            <a:ext uri="{FF2B5EF4-FFF2-40B4-BE49-F238E27FC236}">
              <a16:creationId xmlns:a16="http://schemas.microsoft.com/office/drawing/2014/main" id="{CB649AB7-3B56-EEBE-7DF9-213FC1242FC0}"/>
            </a:ext>
          </a:extLst>
        </xdr:cNvPr>
        <xdr:cNvSpPr txBox="1"/>
      </xdr:nvSpPr>
      <xdr:spPr>
        <a:xfrm>
          <a:off x="9959340" y="213360"/>
          <a:ext cx="1600200" cy="487680"/>
        </a:xfrm>
        <a:prstGeom prst="rect">
          <a:avLst/>
        </a:prstGeom>
        <a:solidFill>
          <a:srgbClr val="000000"/>
        </a:solidFill>
        <a:ln w="9525" cmpd="sng">
          <a:solidFill>
            <a:srgbClr val="00204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i="0" u="none" strike="noStrike">
              <a:solidFill>
                <a:srgbClr val="00204F"/>
              </a:solidFill>
              <a:effectLst/>
              <a:latin typeface="+mn-lt"/>
              <a:ea typeface="+mn-ea"/>
              <a:cs typeface="+mn-cs"/>
            </a:rPr>
            <a:t>      </a:t>
          </a:r>
          <a:r>
            <a:rPr lang="en-IN" sz="1200" b="1" i="0" u="none" strike="noStrike">
              <a:solidFill>
                <a:schemeClr val="bg1"/>
              </a:solidFill>
              <a:effectLst/>
              <a:latin typeface="+mn-lt"/>
              <a:ea typeface="+mn-ea"/>
              <a:cs typeface="+mn-cs"/>
            </a:rPr>
            <a:t>Total_Employees</a:t>
          </a:r>
          <a:r>
            <a:rPr lang="en-IN" sz="1200" b="1">
              <a:solidFill>
                <a:schemeClr val="bg1"/>
              </a:solidFill>
              <a:effectLst/>
            </a:rPr>
            <a:t> </a:t>
          </a:r>
        </a:p>
        <a:p>
          <a:pPr algn="ctr"/>
          <a:r>
            <a:rPr lang="en-IN" sz="1100" b="1" i="0" u="none" strike="noStrike" baseline="0">
              <a:solidFill>
                <a:schemeClr val="bg1"/>
              </a:solidFill>
              <a:effectLst/>
              <a:latin typeface="+mn-lt"/>
              <a:ea typeface="+mn-ea"/>
              <a:cs typeface="+mn-cs"/>
            </a:rPr>
            <a:t> 1470</a:t>
          </a:r>
          <a:r>
            <a:rPr lang="en-IN" b="1">
              <a:solidFill>
                <a:schemeClr val="bg1"/>
              </a:solidFill>
              <a:effectLst/>
            </a:rPr>
            <a:t> </a:t>
          </a:r>
          <a:endParaRPr lang="en-IN" sz="1100" b="1">
            <a:solidFill>
              <a:schemeClr val="bg1"/>
            </a:solidFill>
          </a:endParaRPr>
        </a:p>
      </xdr:txBody>
    </xdr:sp>
    <xdr:clientData/>
  </xdr:twoCellAnchor>
  <xdr:twoCellAnchor>
    <xdr:from>
      <xdr:col>19</xdr:col>
      <xdr:colOff>251460</xdr:colOff>
      <xdr:row>1</xdr:row>
      <xdr:rowOff>22860</xdr:rowOff>
    </xdr:from>
    <xdr:to>
      <xdr:col>22</xdr:col>
      <xdr:colOff>121920</xdr:colOff>
      <xdr:row>3</xdr:row>
      <xdr:rowOff>137160</xdr:rowOff>
    </xdr:to>
    <xdr:sp macro="" textlink="">
      <xdr:nvSpPr>
        <xdr:cNvPr id="8" name="TextBox 7">
          <a:extLst>
            <a:ext uri="{FF2B5EF4-FFF2-40B4-BE49-F238E27FC236}">
              <a16:creationId xmlns:a16="http://schemas.microsoft.com/office/drawing/2014/main" id="{DCB30EE2-5251-C5ED-7721-55ADF94DAB8D}"/>
            </a:ext>
          </a:extLst>
        </xdr:cNvPr>
        <xdr:cNvSpPr txBox="1"/>
      </xdr:nvSpPr>
      <xdr:spPr>
        <a:xfrm>
          <a:off x="11833860" y="205740"/>
          <a:ext cx="1699260" cy="480060"/>
        </a:xfrm>
        <a:prstGeom prst="rect">
          <a:avLst/>
        </a:prstGeom>
        <a:solidFill>
          <a:srgbClr val="000000"/>
        </a:solidFill>
        <a:ln w="9525" cmpd="sng">
          <a:solidFill>
            <a:srgbClr val="00204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Attrition_Rate</a:t>
          </a:r>
          <a:r>
            <a:rPr lang="en-IN" sz="1200" b="1">
              <a:solidFill>
                <a:schemeClr val="bg1"/>
              </a:solidFill>
              <a:effectLst/>
            </a:rPr>
            <a:t> </a:t>
          </a:r>
          <a:r>
            <a:rPr lang="en-IN" sz="1100" b="1" i="0" u="none" strike="noStrike">
              <a:solidFill>
                <a:schemeClr val="bg1"/>
              </a:solidFill>
              <a:effectLst/>
              <a:latin typeface="+mn-lt"/>
              <a:ea typeface="+mn-ea"/>
              <a:cs typeface="+mn-cs"/>
            </a:rPr>
            <a:t>9.706959706</a:t>
          </a:r>
          <a:r>
            <a:rPr lang="en-IN" b="1">
              <a:solidFill>
                <a:schemeClr val="bg1"/>
              </a:solidFill>
              <a:effectLst/>
            </a:rPr>
            <a:t> </a:t>
          </a:r>
          <a:endParaRPr lang="en-IN" sz="1100" b="1">
            <a:solidFill>
              <a:schemeClr val="bg1"/>
            </a:solidFill>
          </a:endParaRPr>
        </a:p>
      </xdr:txBody>
    </xdr:sp>
    <xdr:clientData/>
  </xdr:twoCellAnchor>
  <xdr:twoCellAnchor>
    <xdr:from>
      <xdr:col>10</xdr:col>
      <xdr:colOff>533400</xdr:colOff>
      <xdr:row>10</xdr:row>
      <xdr:rowOff>133350</xdr:rowOff>
    </xdr:from>
    <xdr:to>
      <xdr:col>12</xdr:col>
      <xdr:colOff>228600</xdr:colOff>
      <xdr:row>15</xdr:row>
      <xdr:rowOff>133350</xdr:rowOff>
    </xdr:to>
    <xdr:sp macro="" textlink="">
      <xdr:nvSpPr>
        <xdr:cNvPr id="9" name="TextBox 8">
          <a:extLst>
            <a:ext uri="{FF2B5EF4-FFF2-40B4-BE49-F238E27FC236}">
              <a16:creationId xmlns:a16="http://schemas.microsoft.com/office/drawing/2014/main" id="{CC5DB3E9-78FB-8EFF-7889-E832652B3F1F}"/>
            </a:ext>
          </a:extLst>
        </xdr:cNvPr>
        <xdr:cNvSpPr txBox="1"/>
      </xdr:nvSpPr>
      <xdr:spPr>
        <a:xfrm>
          <a:off x="6629400" y="196215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13</xdr:col>
      <xdr:colOff>236220</xdr:colOff>
      <xdr:row>6</xdr:row>
      <xdr:rowOff>175260</xdr:rowOff>
    </xdr:from>
    <xdr:ext cx="184731" cy="264560"/>
    <xdr:sp macro="" textlink="">
      <xdr:nvSpPr>
        <xdr:cNvPr id="10" name="TextBox 9">
          <a:extLst>
            <a:ext uri="{FF2B5EF4-FFF2-40B4-BE49-F238E27FC236}">
              <a16:creationId xmlns:a16="http://schemas.microsoft.com/office/drawing/2014/main" id="{80FF2AB5-24BC-B6C7-1564-DBAF7B9B3FDA}"/>
            </a:ext>
          </a:extLst>
        </xdr:cNvPr>
        <xdr:cNvSpPr txBox="1"/>
      </xdr:nvSpPr>
      <xdr:spPr>
        <a:xfrm>
          <a:off x="8161020" y="1272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45720</xdr:colOff>
      <xdr:row>4</xdr:row>
      <xdr:rowOff>144780</xdr:rowOff>
    </xdr:from>
    <xdr:to>
      <xdr:col>3</xdr:col>
      <xdr:colOff>45720</xdr:colOff>
      <xdr:row>17</xdr:row>
      <xdr:rowOff>137160</xdr:rowOff>
    </xdr:to>
    <mc:AlternateContent xmlns:mc="http://schemas.openxmlformats.org/markup-compatibility/2006" xmlns:a14="http://schemas.microsoft.com/office/drawing/2010/main">
      <mc:Choice Requires="a14">
        <xdr:graphicFrame macro="">
          <xdr:nvGraphicFramePr>
            <xdr:cNvPr id="11" name="TrainingTimes">
              <a:extLst>
                <a:ext uri="{FF2B5EF4-FFF2-40B4-BE49-F238E27FC236}">
                  <a16:creationId xmlns:a16="http://schemas.microsoft.com/office/drawing/2014/main" id="{6AD9C591-9FBA-4816-9F85-7D0D99E6D040}"/>
                </a:ext>
              </a:extLst>
            </xdr:cNvPr>
            <xdr:cNvGraphicFramePr/>
          </xdr:nvGraphicFramePr>
          <xdr:xfrm>
            <a:off x="0" y="0"/>
            <a:ext cx="0" cy="0"/>
          </xdr:xfrm>
          <a:graphic>
            <a:graphicData uri="http://schemas.microsoft.com/office/drawing/2010/slicer">
              <sle:slicer xmlns:sle="http://schemas.microsoft.com/office/drawing/2010/slicer" name="TrainingTimes"/>
            </a:graphicData>
          </a:graphic>
        </xdr:graphicFrame>
      </mc:Choice>
      <mc:Fallback xmlns="">
        <xdr:sp macro="" textlink="">
          <xdr:nvSpPr>
            <xdr:cNvPr id="0" name=""/>
            <xdr:cNvSpPr>
              <a:spLocks noTextEdit="1"/>
            </xdr:cNvSpPr>
          </xdr:nvSpPr>
          <xdr:spPr>
            <a:xfrm>
              <a:off x="45720" y="876300"/>
              <a:ext cx="1828800" cy="252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18</xdr:row>
      <xdr:rowOff>53340</xdr:rowOff>
    </xdr:from>
    <xdr:to>
      <xdr:col>3</xdr:col>
      <xdr:colOff>91440</xdr:colOff>
      <xdr:row>23</xdr:row>
      <xdr:rowOff>60960</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E5AFBEC4-A817-4BFF-8113-872DE85C28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580" y="3345180"/>
              <a:ext cx="185166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23</xdr:row>
      <xdr:rowOff>137160</xdr:rowOff>
    </xdr:from>
    <xdr:to>
      <xdr:col>3</xdr:col>
      <xdr:colOff>68580</xdr:colOff>
      <xdr:row>29</xdr:row>
      <xdr:rowOff>45720</xdr:rowOff>
    </xdr:to>
    <mc:AlternateContent xmlns:mc="http://schemas.openxmlformats.org/markup-compatibility/2006">
      <mc:Choice xmlns:a14="http://schemas.microsoft.com/office/drawing/2010/main" Requires="a14">
        <xdr:graphicFrame macro="">
          <xdr:nvGraphicFramePr>
            <xdr:cNvPr id="13" name="Income_Group">
              <a:extLst>
                <a:ext uri="{FF2B5EF4-FFF2-40B4-BE49-F238E27FC236}">
                  <a16:creationId xmlns:a16="http://schemas.microsoft.com/office/drawing/2014/main" id="{BA8F0355-F73C-42AF-A8F5-B2F3745AC5D3}"/>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dr:sp macro="" textlink="">
          <xdr:nvSpPr>
            <xdr:cNvPr id="0" name=""/>
            <xdr:cNvSpPr>
              <a:spLocks noTextEdit="1"/>
            </xdr:cNvSpPr>
          </xdr:nvSpPr>
          <xdr:spPr>
            <a:xfrm>
              <a:off x="30480" y="4343400"/>
              <a:ext cx="18669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29</xdr:row>
      <xdr:rowOff>121920</xdr:rowOff>
    </xdr:from>
    <xdr:to>
      <xdr:col>3</xdr:col>
      <xdr:colOff>83820</xdr:colOff>
      <xdr:row>35</xdr:row>
      <xdr:rowOff>114300</xdr:rowOff>
    </xdr:to>
    <mc:AlternateContent xmlns:mc="http://schemas.openxmlformats.org/markup-compatibility/2006">
      <mc:Choice xmlns:a14="http://schemas.microsoft.com/office/drawing/2010/main" Requires="a14">
        <xdr:graphicFrame macro="">
          <xdr:nvGraphicFramePr>
            <xdr:cNvPr id="14" name="OverTime">
              <a:extLst>
                <a:ext uri="{FF2B5EF4-FFF2-40B4-BE49-F238E27FC236}">
                  <a16:creationId xmlns:a16="http://schemas.microsoft.com/office/drawing/2014/main" id="{D6D65AD6-6537-4A4E-A5F7-911172C54FC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60960" y="5425440"/>
              <a:ext cx="185166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5</xdr:row>
      <xdr:rowOff>38100</xdr:rowOff>
    </xdr:from>
    <xdr:to>
      <xdr:col>12</xdr:col>
      <xdr:colOff>320040</xdr:colOff>
      <xdr:row>19</xdr:row>
      <xdr:rowOff>106680</xdr:rowOff>
    </xdr:to>
    <xdr:graphicFrame macro="">
      <xdr:nvGraphicFramePr>
        <xdr:cNvPr id="15" name="Chart 14">
          <a:extLst>
            <a:ext uri="{FF2B5EF4-FFF2-40B4-BE49-F238E27FC236}">
              <a16:creationId xmlns:a16="http://schemas.microsoft.com/office/drawing/2014/main" id="{227D79DF-3E00-466D-B1EC-E7C9A162E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xdr:colOff>
      <xdr:row>5</xdr:row>
      <xdr:rowOff>30480</xdr:rowOff>
    </xdr:from>
    <xdr:to>
      <xdr:col>22</xdr:col>
      <xdr:colOff>304800</xdr:colOff>
      <xdr:row>19</xdr:row>
      <xdr:rowOff>137160</xdr:rowOff>
    </xdr:to>
    <xdr:graphicFrame macro="">
      <xdr:nvGraphicFramePr>
        <xdr:cNvPr id="16" name="Chart 15">
          <a:extLst>
            <a:ext uri="{FF2B5EF4-FFF2-40B4-BE49-F238E27FC236}">
              <a16:creationId xmlns:a16="http://schemas.microsoft.com/office/drawing/2014/main" id="{EFF9A955-BEB2-46A2-83A0-680CB11E2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20</xdr:row>
      <xdr:rowOff>38100</xdr:rowOff>
    </xdr:from>
    <xdr:to>
      <xdr:col>12</xdr:col>
      <xdr:colOff>320040</xdr:colOff>
      <xdr:row>36</xdr:row>
      <xdr:rowOff>99060</xdr:rowOff>
    </xdr:to>
    <xdr:graphicFrame macro="">
      <xdr:nvGraphicFramePr>
        <xdr:cNvPr id="17" name="Chart 16">
          <a:extLst>
            <a:ext uri="{FF2B5EF4-FFF2-40B4-BE49-F238E27FC236}">
              <a16:creationId xmlns:a16="http://schemas.microsoft.com/office/drawing/2014/main" id="{485966B7-43BB-4C63-B9C6-DAB455EAA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20</xdr:row>
      <xdr:rowOff>68580</xdr:rowOff>
    </xdr:from>
    <xdr:to>
      <xdr:col>22</xdr:col>
      <xdr:colOff>304800</xdr:colOff>
      <xdr:row>35</xdr:row>
      <xdr:rowOff>160020</xdr:rowOff>
    </xdr:to>
    <xdr:graphicFrame macro="">
      <xdr:nvGraphicFramePr>
        <xdr:cNvPr id="18" name="Chart 17">
          <a:extLst>
            <a:ext uri="{FF2B5EF4-FFF2-40B4-BE49-F238E27FC236}">
              <a16:creationId xmlns:a16="http://schemas.microsoft.com/office/drawing/2014/main" id="{7FB04740-F5D7-4945-968E-348223A46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 Kulkarni" refreshedDate="46087.96630428241" createdVersion="8" refreshedVersion="8" minRefreshableVersion="3" recordCount="7" xr:uid="{7CB05980-CD53-452D-A9F4-468CD7EE8A11}">
  <cacheSource type="worksheet">
    <worksheetSource ref="A1:D8" sheet="Data"/>
  </cacheSource>
  <cacheFields count="4">
    <cacheField name="TrainingTimes" numFmtId="0">
      <sharedItems containsSemiMixedTypes="0" containsString="0" containsNumber="1" containsInteger="1" minValue="0" maxValue="6" count="7">
        <n v="2"/>
        <n v="6"/>
        <n v="3"/>
        <n v="0"/>
        <n v="4"/>
        <n v="5"/>
        <n v="1"/>
      </sharedItems>
    </cacheField>
    <cacheField name="Avg_Tenure" numFmtId="0">
      <sharedItems containsSemiMixedTypes="0" containsString="0" containsNumber="1" minValue="1.111111111" maxValue="2"/>
    </cacheField>
    <cacheField name="Total" numFmtId="0">
      <sharedItems containsSemiMixedTypes="0" containsString="0" containsNumber="1" containsInteger="1" minValue="4" maxValue="60"/>
    </cacheField>
    <cacheField name="Attrition_Rate" numFmtId="0">
      <sharedItems containsSemiMixedTypes="0" containsString="0" containsNumber="1" minValue="22.222222221999999" maxValue="62.5"/>
    </cacheField>
  </cacheFields>
  <extLst>
    <ext xmlns:x14="http://schemas.microsoft.com/office/spreadsheetml/2009/9/main" uri="{725AE2AE-9491-48be-B2B4-4EB974FC3084}">
      <x14:pivotCacheDefinition pivotCacheId="511970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 Kulkarni" refreshedDate="46087.968623611108" createdVersion="8" refreshedVersion="8" minRefreshableVersion="3" recordCount="2" xr:uid="{B44CEB27-3AFD-4729-B139-5DA3A18FDA4A}">
  <cacheSource type="worksheet">
    <worksheetSource ref="G1:J3" sheet="Data"/>
  </cacheSource>
  <cacheFields count="4">
    <cacheField name="Gender" numFmtId="0">
      <sharedItems count="2">
        <s v="Female"/>
        <s v="Male"/>
      </sharedItems>
    </cacheField>
    <cacheField name="Avg_Income" numFmtId="0">
      <sharedItems containsSemiMixedTypes="0" containsString="0" containsNumber="1" minValue="6380.5079365069996" maxValue="6686.56632653"/>
    </cacheField>
    <cacheField name="Avg_Promotion_Gap" numFmtId="0">
      <sharedItems containsSemiMixedTypes="0" containsString="0" containsNumber="1" minValue="2.1167800450000001" maxValue="2.2942176870000002"/>
    </cacheField>
    <cacheField name="Attrition_Rate" numFmtId="0">
      <sharedItems containsSemiMixedTypes="0" containsString="0" containsNumber="1" minValue="14.795918367000001" maxValue="17.006802721"/>
    </cacheField>
  </cacheFields>
  <extLst>
    <ext xmlns:x14="http://schemas.microsoft.com/office/spreadsheetml/2009/9/main" uri="{725AE2AE-9491-48be-B2B4-4EB974FC3084}">
      <x14:pivotCacheDefinition pivotCacheId="5910159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 Kulkarni" refreshedDate="46087.969771759257" createdVersion="8" refreshedVersion="8" minRefreshableVersion="3" recordCount="2" xr:uid="{B5F186F2-A08E-47F9-9D08-9635D0274A27}">
  <cacheSource type="worksheet">
    <worksheetSource ref="G13:J15" sheet="Data"/>
  </cacheSource>
  <cacheFields count="4">
    <cacheField name="Income_Group" numFmtId="0">
      <sharedItems count="2">
        <s v="Other"/>
        <s v="Low Income"/>
      </sharedItems>
    </cacheField>
    <cacheField name="Total" numFmtId="0">
      <sharedItems containsSemiMixedTypes="0" containsString="0" containsNumber="1" containsInteger="1" minValue="395" maxValue="1075"/>
    </cacheField>
    <cacheField name="Avg_Hike" numFmtId="0">
      <sharedItems containsSemiMixedTypes="0" containsString="0" containsNumber="1" minValue="15.139534883" maxValue="15.4"/>
    </cacheField>
    <cacheField name="Attrition_Rate" numFmtId="0">
      <sharedItems containsSemiMixedTypes="0" containsString="0" containsNumber="1" minValue="11.53488372" maxValue="28.607594936000002"/>
    </cacheField>
  </cacheFields>
  <extLst>
    <ext xmlns:x14="http://schemas.microsoft.com/office/spreadsheetml/2009/9/main" uri="{725AE2AE-9491-48be-B2B4-4EB974FC3084}">
      <x14:pivotCacheDefinition pivotCacheId="36441101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 Kulkarni" refreshedDate="46087.973024537037" createdVersion="8" refreshedVersion="8" minRefreshableVersion="3" recordCount="2" xr:uid="{89785390-DB6F-48CB-A6E6-4D466170E51E}">
  <cacheSource type="worksheet">
    <worksheetSource ref="G7:J9" sheet="Data"/>
  </cacheSource>
  <cacheFields count="4">
    <cacheField name="OverTime" numFmtId="0">
      <sharedItems count="2">
        <s v="No"/>
        <s v="Yes"/>
      </sharedItems>
    </cacheField>
    <cacheField name="Avg_Env_Sat" numFmtId="0">
      <sharedItems containsSemiMixedTypes="0" containsString="0" containsNumber="1" minValue="2.6942028979999999" maxValue="2.870848708"/>
    </cacheField>
    <cacheField name="Count" numFmtId="0">
      <sharedItems containsSemiMixedTypes="0" containsString="0" containsNumber="1" containsInteger="1" minValue="271" maxValue="690"/>
    </cacheField>
    <cacheField name="Attrition_Rate" numFmtId="0">
      <sharedItems containsSemiMixedTypes="0" containsString="0" containsNumber="1" minValue="8.5507246370000001" maxValue="27.306273061999999"/>
    </cacheField>
  </cacheFields>
  <extLst>
    <ext xmlns:x14="http://schemas.microsoft.com/office/spreadsheetml/2009/9/main" uri="{725AE2AE-9491-48be-B2B4-4EB974FC3084}">
      <x14:pivotCacheDefinition pivotCacheId="934900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4"/>
    <n v="60"/>
    <n v="36.666666665999998"/>
  </r>
  <r>
    <x v="1"/>
    <n v="1.111111111"/>
    <n v="9"/>
    <n v="22.222222221999999"/>
  </r>
  <r>
    <x v="2"/>
    <n v="1.5370370369999999"/>
    <n v="54"/>
    <n v="42.592592592000003"/>
  </r>
  <r>
    <x v="3"/>
    <n v="1.125"/>
    <n v="8"/>
    <n v="62.5"/>
  </r>
  <r>
    <x v="4"/>
    <n v="1.4285714279999999"/>
    <n v="14"/>
    <n v="28.571428570999998"/>
  </r>
  <r>
    <x v="5"/>
    <n v="1.125"/>
    <n v="16"/>
    <n v="37.5"/>
  </r>
  <r>
    <x v="6"/>
    <n v="2"/>
    <n v="4"/>
    <n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686.56632653"/>
    <n v="2.2942176870000002"/>
    <n v="14.795918367000001"/>
  </r>
  <r>
    <x v="1"/>
    <n v="6380.5079365069996"/>
    <n v="2.1167800450000001"/>
    <n v="17.0068027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075"/>
    <n v="15.139534883"/>
    <n v="11.53488372"/>
  </r>
  <r>
    <x v="1"/>
    <n v="395"/>
    <n v="15.4"/>
    <n v="28.607594936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6942028979999999"/>
    <n v="690"/>
    <n v="8.5507246370000001"/>
  </r>
  <r>
    <x v="1"/>
    <n v="2.870848708"/>
    <n v="271"/>
    <n v="27.306273061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E97130-9D09-48D7-B7FF-7F791A5C57C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0" firstHeaderRow="0" firstDataRow="1" firstDataCol="1"/>
  <pivotFields count="4">
    <pivotField axis="axisRow" showAll="0">
      <items count="3">
        <item x="0"/>
        <item x="1"/>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Avg_Env_Sat" fld="1" baseField="0" baseItem="0"/>
    <dataField name="Sum of Count" fld="2" baseField="0" baseItem="0"/>
    <dataField name="Average of Attrition_Rate" fld="3" subtotal="average"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73B383-8FD1-44D0-8E50-3B10D2B6AAE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4" firstHeaderRow="0" firstDataRow="1" firstDataCol="1"/>
  <pivotFields count="4">
    <pivotField axis="axisRow" showAll="0">
      <items count="3">
        <item x="1"/>
        <item x="0"/>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Total" fld="1" baseField="0" baseItem="0"/>
    <dataField name="Sum of Avg_Hike" fld="2" baseField="0" baseItem="0"/>
    <dataField name="Average of Attrition_Rate" fld="3"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0" count="1" selected="0">
            <x v="0"/>
          </reference>
        </references>
      </pivotArea>
    </chartFormat>
    <chartFormat chart="3" format="17">
      <pivotArea type="data" outline="0" fieldPosition="0">
        <references count="2">
          <reference field="4294967294" count="1" selected="0">
            <x v="1"/>
          </reference>
          <reference field="0" count="1" selected="0">
            <x v="1"/>
          </reference>
        </references>
      </pivotArea>
    </chartFormat>
    <chartFormat chart="3" format="18" series="1">
      <pivotArea type="data" outline="0" fieldPosition="0">
        <references count="1">
          <reference field="4294967294" count="1" selected="0">
            <x v="2"/>
          </reference>
        </references>
      </pivotArea>
    </chartFormat>
    <chartFormat chart="3" format="19">
      <pivotArea type="data" outline="0" fieldPosition="0">
        <references count="2">
          <reference field="4294967294" count="1" selected="0">
            <x v="2"/>
          </reference>
          <reference field="0" count="1" selected="0">
            <x v="0"/>
          </reference>
        </references>
      </pivotArea>
    </chartFormat>
    <chartFormat chart="3" format="20">
      <pivotArea type="data" outline="0" fieldPosition="0">
        <references count="2">
          <reference field="4294967294" count="1" selected="0">
            <x v="2"/>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99EE0-A48C-47C3-9328-254AF916E22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18" firstHeaderRow="0" firstDataRow="1" firstDataCol="1"/>
  <pivotFields count="4">
    <pivotField axis="axisRow" showAll="0">
      <items count="3">
        <item x="0"/>
        <item x="1"/>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Average of Avg_Income" fld="1" subtotal="average" baseField="0" baseItem="0"/>
    <dataField name="Average of Avg_Promotion_Gap" fld="2" subtotal="average" baseField="0" baseItem="0"/>
    <dataField name="Average of Attrition_Rate" fld="3"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6789C5-67DE-4AF3-B7B5-B85C35DD86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1" firstHeaderRow="0" firstDataRow="1" firstDataCol="1"/>
  <pivotFields count="4">
    <pivotField axis="axisRow" showAll="0">
      <items count="8">
        <item x="3"/>
        <item x="6"/>
        <item x="0"/>
        <item x="2"/>
        <item x="4"/>
        <item x="5"/>
        <item x="1"/>
        <item t="default"/>
      </items>
    </pivotField>
    <pivotField dataField="1" showAll="0"/>
    <pivotField dataField="1" showAll="0"/>
    <pivotField dataField="1" showAll="0"/>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Avg_Tenure" fld="1" subtotal="average" baseField="0" baseItem="0"/>
    <dataField name="Sum of Total" fld="2" baseField="0" baseItem="0"/>
    <dataField name="Sum of Attrition_Rat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Times" xr10:uid="{FE5431F7-4A53-475B-B109-5044AB897653}" sourceName="TrainingTimes">
  <pivotTables>
    <pivotTable tabId="3" name="PivotTable1"/>
  </pivotTables>
  <data>
    <tabular pivotCacheId="51197025">
      <items count="7">
        <i x="3" s="1"/>
        <i x="6" s="1"/>
        <i x="0" s="1"/>
        <i x="2"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F65A01F-6621-4276-A5BA-AAC5A47CF9AC}" sourceName="Gender">
  <pivotTables>
    <pivotTable tabId="3" name="PivotTable2"/>
  </pivotTables>
  <data>
    <tabular pivotCacheId="5910159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0CEDBE0F-4D04-4AB6-8647-E84E7D8265F1}" sourceName="Income_Group">
  <pivotTables>
    <pivotTable tabId="3" name="PivotTable3"/>
  </pivotTables>
  <data>
    <tabular pivotCacheId="3644110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875C01D-44DD-4AA2-87C8-DC1680DEF0FF}" sourceName="OverTime">
  <pivotTables>
    <pivotTable tabId="3" name="PivotTable5"/>
  </pivotTables>
  <data>
    <tabular pivotCacheId="9349002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Times" xr10:uid="{13EAE07C-A67B-4619-B4BC-E270B26D3167}" cache="Slicer_TrainingTimes" caption="TrainingTimes" rowHeight="247650"/>
  <slicer name="Gender" xr10:uid="{8265967C-5428-4F5B-96FF-799A65757C1D}" cache="Slicer_Gender" caption="Gender" rowHeight="247650"/>
  <slicer name="Income_Group" xr10:uid="{B2FC8A49-F51C-405E-BA07-95FBCAAB50C2}" cache="Slicer_Income_Group" caption="Income_Group" rowHeight="247650"/>
  <slicer name="OverTime" xr10:uid="{FA8A2121-12DC-4D2D-A997-97C4B12ECFAD}" cache="Slicer_OverTime" caption="OverTi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71A6-6766-4C83-9AB1-547D19B5BB71}">
  <dimension ref="A2:D30"/>
  <sheetViews>
    <sheetView topLeftCell="A14" workbookViewId="0">
      <selection activeCell="O3" sqref="O3"/>
    </sheetView>
  </sheetViews>
  <sheetFormatPr defaultRowHeight="14.4" x14ac:dyDescent="0.3"/>
  <cols>
    <col min="1" max="1" width="12.44140625" bestFit="1" customWidth="1"/>
    <col min="2" max="2" width="19.88671875" bestFit="1" customWidth="1"/>
    <col min="3" max="3" width="26.77734375" bestFit="1" customWidth="1"/>
    <col min="4" max="4" width="21.5546875" bestFit="1" customWidth="1"/>
  </cols>
  <sheetData>
    <row r="2" spans="1:4" x14ac:dyDescent="0.3">
      <c r="A2" t="s">
        <v>22</v>
      </c>
    </row>
    <row r="3" spans="1:4" x14ac:dyDescent="0.3">
      <c r="A3" s="18" t="s">
        <v>23</v>
      </c>
      <c r="B3" t="s">
        <v>27</v>
      </c>
      <c r="C3" t="s">
        <v>25</v>
      </c>
      <c r="D3" t="s">
        <v>26</v>
      </c>
    </row>
    <row r="4" spans="1:4" x14ac:dyDescent="0.3">
      <c r="A4" s="19">
        <v>0</v>
      </c>
      <c r="B4" s="21">
        <v>1.125</v>
      </c>
      <c r="C4" s="21">
        <v>8</v>
      </c>
      <c r="D4" s="21">
        <v>62.5</v>
      </c>
    </row>
    <row r="5" spans="1:4" x14ac:dyDescent="0.3">
      <c r="A5" s="19">
        <v>1</v>
      </c>
      <c r="B5" s="21">
        <v>2</v>
      </c>
      <c r="C5" s="21">
        <v>4</v>
      </c>
      <c r="D5" s="21">
        <v>25</v>
      </c>
    </row>
    <row r="6" spans="1:4" x14ac:dyDescent="0.3">
      <c r="A6" s="19">
        <v>2</v>
      </c>
      <c r="B6" s="21">
        <v>1.4</v>
      </c>
      <c r="C6" s="21">
        <v>60</v>
      </c>
      <c r="D6" s="21">
        <v>36.666666665999998</v>
      </c>
    </row>
    <row r="7" spans="1:4" x14ac:dyDescent="0.3">
      <c r="A7" s="19">
        <v>3</v>
      </c>
      <c r="B7" s="21">
        <v>1.5370370369999999</v>
      </c>
      <c r="C7" s="21">
        <v>54</v>
      </c>
      <c r="D7" s="21">
        <v>42.592592592000003</v>
      </c>
    </row>
    <row r="8" spans="1:4" x14ac:dyDescent="0.3">
      <c r="A8" s="19">
        <v>4</v>
      </c>
      <c r="B8" s="21">
        <v>1.4285714279999999</v>
      </c>
      <c r="C8" s="21">
        <v>14</v>
      </c>
      <c r="D8" s="21">
        <v>28.571428570999998</v>
      </c>
    </row>
    <row r="9" spans="1:4" x14ac:dyDescent="0.3">
      <c r="A9" s="19">
        <v>5</v>
      </c>
      <c r="B9" s="21">
        <v>1.125</v>
      </c>
      <c r="C9" s="21">
        <v>16</v>
      </c>
      <c r="D9" s="21">
        <v>37.5</v>
      </c>
    </row>
    <row r="10" spans="1:4" x14ac:dyDescent="0.3">
      <c r="A10" s="19">
        <v>6</v>
      </c>
      <c r="B10" s="21">
        <v>1.111111111</v>
      </c>
      <c r="C10" s="21">
        <v>9</v>
      </c>
      <c r="D10" s="21">
        <v>22.222222221999999</v>
      </c>
    </row>
    <row r="11" spans="1:4" x14ac:dyDescent="0.3">
      <c r="A11" s="19" t="s">
        <v>24</v>
      </c>
      <c r="B11" s="21">
        <v>1.3895313680000001</v>
      </c>
      <c r="C11" s="21">
        <v>165</v>
      </c>
      <c r="D11" s="21">
        <v>255.052910051</v>
      </c>
    </row>
    <row r="14" spans="1:4" x14ac:dyDescent="0.3">
      <c r="A14" t="s">
        <v>28</v>
      </c>
    </row>
    <row r="15" spans="1:4" x14ac:dyDescent="0.3">
      <c r="A15" s="18" t="s">
        <v>23</v>
      </c>
      <c r="B15" t="s">
        <v>29</v>
      </c>
      <c r="C15" t="s">
        <v>30</v>
      </c>
      <c r="D15" t="s">
        <v>31</v>
      </c>
    </row>
    <row r="16" spans="1:4" x14ac:dyDescent="0.3">
      <c r="A16" s="19" t="s">
        <v>11</v>
      </c>
      <c r="B16" s="21">
        <v>6686.56632653</v>
      </c>
      <c r="C16" s="21">
        <v>2.2942176870000002</v>
      </c>
      <c r="D16" s="21">
        <v>14.795918367000001</v>
      </c>
    </row>
    <row r="17" spans="1:4" x14ac:dyDescent="0.3">
      <c r="A17" s="19" t="s">
        <v>12</v>
      </c>
      <c r="B17" s="21">
        <v>6380.5079365069996</v>
      </c>
      <c r="C17" s="21">
        <v>2.1167800450000001</v>
      </c>
      <c r="D17" s="21">
        <v>17.006802721</v>
      </c>
    </row>
    <row r="18" spans="1:4" x14ac:dyDescent="0.3">
      <c r="A18" s="19" t="s">
        <v>24</v>
      </c>
      <c r="B18" s="21">
        <v>6533.5371315185002</v>
      </c>
      <c r="C18" s="21">
        <v>2.2054988660000001</v>
      </c>
      <c r="D18" s="21">
        <v>15.901360543999999</v>
      </c>
    </row>
    <row r="20" spans="1:4" x14ac:dyDescent="0.3">
      <c r="A20" s="19" t="s">
        <v>32</v>
      </c>
    </row>
    <row r="21" spans="1:4" x14ac:dyDescent="0.3">
      <c r="A21" s="18" t="s">
        <v>23</v>
      </c>
      <c r="B21" t="s">
        <v>25</v>
      </c>
      <c r="C21" t="s">
        <v>33</v>
      </c>
      <c r="D21" t="s">
        <v>31</v>
      </c>
    </row>
    <row r="22" spans="1:4" x14ac:dyDescent="0.3">
      <c r="A22" s="19" t="s">
        <v>16</v>
      </c>
      <c r="B22">
        <v>395</v>
      </c>
      <c r="C22">
        <v>15.4</v>
      </c>
      <c r="D22">
        <v>28.607594936000002</v>
      </c>
    </row>
    <row r="23" spans="1:4" x14ac:dyDescent="0.3">
      <c r="A23" s="19" t="s">
        <v>15</v>
      </c>
      <c r="B23">
        <v>1075</v>
      </c>
      <c r="C23">
        <v>15.139534883</v>
      </c>
      <c r="D23">
        <v>11.53488372</v>
      </c>
    </row>
    <row r="24" spans="1:4" x14ac:dyDescent="0.3">
      <c r="A24" s="19" t="s">
        <v>24</v>
      </c>
      <c r="B24">
        <v>1470</v>
      </c>
      <c r="C24">
        <v>30.539534883000002</v>
      </c>
      <c r="D24">
        <v>20.071239328000001</v>
      </c>
    </row>
    <row r="26" spans="1:4" x14ac:dyDescent="0.3">
      <c r="A26" s="19" t="s">
        <v>34</v>
      </c>
    </row>
    <row r="27" spans="1:4" x14ac:dyDescent="0.3">
      <c r="A27" s="18" t="s">
        <v>23</v>
      </c>
      <c r="B27" t="s">
        <v>35</v>
      </c>
      <c r="C27" t="s">
        <v>36</v>
      </c>
      <c r="D27" t="s">
        <v>31</v>
      </c>
    </row>
    <row r="28" spans="1:4" x14ac:dyDescent="0.3">
      <c r="A28" s="19" t="s">
        <v>20</v>
      </c>
      <c r="B28">
        <v>2.6942028979999999</v>
      </c>
      <c r="C28">
        <v>690</v>
      </c>
      <c r="D28">
        <v>8.5507246370000001</v>
      </c>
    </row>
    <row r="29" spans="1:4" x14ac:dyDescent="0.3">
      <c r="A29" s="19" t="s">
        <v>21</v>
      </c>
      <c r="B29">
        <v>2.870848708</v>
      </c>
      <c r="C29">
        <v>271</v>
      </c>
      <c r="D29">
        <v>27.306273061999999</v>
      </c>
    </row>
    <row r="30" spans="1:4" x14ac:dyDescent="0.3">
      <c r="A30" s="19" t="s">
        <v>24</v>
      </c>
      <c r="B30">
        <v>5.5650516059999999</v>
      </c>
      <c r="C30">
        <v>961</v>
      </c>
      <c r="D30">
        <v>17.928498849499999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F100-5809-4BD4-9B43-58BE955DBC93}">
  <dimension ref="A1"/>
  <sheetViews>
    <sheetView showGridLines="0" tabSelected="1" workbookViewId="0">
      <selection activeCell="M21" sqref="M21"/>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BB2EF-F9AA-4CA1-B5D4-0981215E3E2E}">
  <dimension ref="A1:J15"/>
  <sheetViews>
    <sheetView workbookViewId="0">
      <selection activeCell="F20" sqref="F20"/>
    </sheetView>
  </sheetViews>
  <sheetFormatPr defaultRowHeight="14.4" x14ac:dyDescent="0.3"/>
  <cols>
    <col min="1" max="1" width="16.5546875" customWidth="1"/>
    <col min="2" max="2" width="20.5546875" customWidth="1"/>
    <col min="3" max="3" width="16.77734375" customWidth="1"/>
    <col min="4" max="4" width="16.88671875" customWidth="1"/>
    <col min="5" max="5" width="14.33203125" customWidth="1"/>
    <col min="6" max="6" width="10.33203125" customWidth="1"/>
    <col min="7" max="7" width="10.88671875" customWidth="1"/>
    <col min="8" max="8" width="14.77734375" customWidth="1"/>
    <col min="9" max="9" width="21.77734375" customWidth="1"/>
    <col min="10" max="10" width="14.33203125" customWidth="1"/>
    <col min="12" max="12" width="15" customWidth="1"/>
    <col min="14" max="14" width="10.44140625" customWidth="1"/>
    <col min="15" max="15" width="14.33203125" customWidth="1"/>
  </cols>
  <sheetData>
    <row r="1" spans="1:10" x14ac:dyDescent="0.3">
      <c r="A1" s="7" t="s">
        <v>0</v>
      </c>
      <c r="B1" s="8" t="s">
        <v>1</v>
      </c>
      <c r="C1" s="8" t="s">
        <v>2</v>
      </c>
      <c r="D1" s="9" t="s">
        <v>3</v>
      </c>
      <c r="G1" s="7" t="s">
        <v>8</v>
      </c>
      <c r="H1" s="8" t="s">
        <v>9</v>
      </c>
      <c r="I1" s="8" t="s">
        <v>10</v>
      </c>
      <c r="J1" s="9" t="s">
        <v>3</v>
      </c>
    </row>
    <row r="2" spans="1:10" x14ac:dyDescent="0.3">
      <c r="A2" s="10">
        <v>2</v>
      </c>
      <c r="B2" s="11">
        <v>1.4</v>
      </c>
      <c r="C2" s="11">
        <v>60</v>
      </c>
      <c r="D2" s="12">
        <v>36.666666665999998</v>
      </c>
      <c r="G2" s="10" t="s">
        <v>11</v>
      </c>
      <c r="H2" s="11">
        <v>6686.56632653</v>
      </c>
      <c r="I2" s="11">
        <v>2.2942176870000002</v>
      </c>
      <c r="J2" s="12">
        <v>14.795918367000001</v>
      </c>
    </row>
    <row r="3" spans="1:10" x14ac:dyDescent="0.3">
      <c r="A3" s="13">
        <v>6</v>
      </c>
      <c r="B3" s="14">
        <v>1.111111111</v>
      </c>
      <c r="C3" s="14">
        <v>9</v>
      </c>
      <c r="D3" s="15">
        <v>22.222222221999999</v>
      </c>
      <c r="G3" s="4" t="s">
        <v>12</v>
      </c>
      <c r="H3" s="5">
        <v>6380.5079365069996</v>
      </c>
      <c r="I3" s="5">
        <v>2.1167800450000001</v>
      </c>
      <c r="J3" s="6">
        <v>17.006802721</v>
      </c>
    </row>
    <row r="4" spans="1:10" x14ac:dyDescent="0.3">
      <c r="A4" s="10">
        <v>3</v>
      </c>
      <c r="B4" s="11">
        <v>1.5370370369999999</v>
      </c>
      <c r="C4" s="11">
        <v>54</v>
      </c>
      <c r="D4" s="12">
        <v>42.592592592000003</v>
      </c>
    </row>
    <row r="5" spans="1:10" x14ac:dyDescent="0.3">
      <c r="A5" s="13">
        <v>0</v>
      </c>
      <c r="B5" s="14">
        <v>1.125</v>
      </c>
      <c r="C5" s="14">
        <v>8</v>
      </c>
      <c r="D5" s="15">
        <v>62.5</v>
      </c>
    </row>
    <row r="6" spans="1:10" x14ac:dyDescent="0.3">
      <c r="A6" s="10">
        <v>4</v>
      </c>
      <c r="B6" s="11">
        <v>1.4285714279999999</v>
      </c>
      <c r="C6" s="11">
        <v>14</v>
      </c>
      <c r="D6" s="12">
        <v>28.571428570999998</v>
      </c>
    </row>
    <row r="7" spans="1:10" x14ac:dyDescent="0.3">
      <c r="A7" s="13">
        <v>5</v>
      </c>
      <c r="B7" s="14">
        <v>1.125</v>
      </c>
      <c r="C7" s="14">
        <v>16</v>
      </c>
      <c r="D7" s="15">
        <v>37.5</v>
      </c>
      <c r="G7" s="7" t="s">
        <v>17</v>
      </c>
      <c r="H7" s="8" t="s">
        <v>18</v>
      </c>
      <c r="I7" s="8" t="s">
        <v>19</v>
      </c>
      <c r="J7" s="9" t="s">
        <v>3</v>
      </c>
    </row>
    <row r="8" spans="1:10" x14ac:dyDescent="0.3">
      <c r="A8" s="1">
        <v>1</v>
      </c>
      <c r="B8" s="2">
        <v>2</v>
      </c>
      <c r="C8" s="2">
        <v>4</v>
      </c>
      <c r="D8" s="3">
        <v>25</v>
      </c>
      <c r="G8" s="10" t="s">
        <v>20</v>
      </c>
      <c r="H8" s="11">
        <v>2.6942028979999999</v>
      </c>
      <c r="I8" s="11">
        <v>690</v>
      </c>
      <c r="J8" s="12">
        <v>8.5507246370000001</v>
      </c>
    </row>
    <row r="9" spans="1:10" x14ac:dyDescent="0.3">
      <c r="G9" s="4" t="s">
        <v>21</v>
      </c>
      <c r="H9" s="5">
        <v>2.870848708</v>
      </c>
      <c r="I9" s="5">
        <v>271</v>
      </c>
      <c r="J9" s="6">
        <v>27.306273061999999</v>
      </c>
    </row>
    <row r="13" spans="1:10" x14ac:dyDescent="0.3">
      <c r="G13" s="7" t="s">
        <v>13</v>
      </c>
      <c r="H13" s="8" t="s">
        <v>2</v>
      </c>
      <c r="I13" s="8" t="s">
        <v>14</v>
      </c>
      <c r="J13" s="9" t="s">
        <v>3</v>
      </c>
    </row>
    <row r="14" spans="1:10" x14ac:dyDescent="0.3">
      <c r="B14" s="5"/>
      <c r="G14" s="10" t="s">
        <v>15</v>
      </c>
      <c r="H14" s="11">
        <v>1075</v>
      </c>
      <c r="I14" s="11">
        <v>15.139534883</v>
      </c>
      <c r="J14" s="12">
        <v>11.53488372</v>
      </c>
    </row>
    <row r="15" spans="1:10" x14ac:dyDescent="0.3">
      <c r="A15" s="4"/>
      <c r="C15" s="5"/>
      <c r="D15" s="5"/>
      <c r="E15" s="5"/>
      <c r="F15" s="6"/>
      <c r="G15" s="4" t="s">
        <v>16</v>
      </c>
      <c r="H15" s="5">
        <v>395</v>
      </c>
      <c r="I15" s="5">
        <v>15.4</v>
      </c>
      <c r="J15" s="6">
        <v>28.607594936000002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66E8-FAEC-438A-B743-1F4CAD534348}">
  <dimension ref="B5:F13"/>
  <sheetViews>
    <sheetView topLeftCell="A2" zoomScale="131" workbookViewId="0">
      <selection activeCell="F5" sqref="F5:F6"/>
    </sheetView>
  </sheetViews>
  <sheetFormatPr defaultRowHeight="14.4" x14ac:dyDescent="0.3"/>
  <cols>
    <col min="2" max="2" width="17" customWidth="1"/>
    <col min="3" max="3" width="20.21875" customWidth="1"/>
    <col min="4" max="4" width="16.21875" customWidth="1"/>
    <col min="5" max="5" width="17" customWidth="1"/>
    <col min="6" max="6" width="15.21875" customWidth="1"/>
  </cols>
  <sheetData>
    <row r="5" spans="2:6" x14ac:dyDescent="0.3">
      <c r="B5" s="7" t="s">
        <v>4</v>
      </c>
      <c r="C5" s="8" t="s">
        <v>5</v>
      </c>
      <c r="D5" s="8" t="s">
        <v>6</v>
      </c>
      <c r="E5" s="8" t="s">
        <v>7</v>
      </c>
      <c r="F5" s="8" t="s">
        <v>3</v>
      </c>
    </row>
    <row r="6" spans="2:6" x14ac:dyDescent="0.3">
      <c r="B6" s="10">
        <v>2.7362637360000002</v>
      </c>
      <c r="C6" s="11">
        <v>2.805860805</v>
      </c>
      <c r="D6" s="11">
        <v>2.7380952380000001</v>
      </c>
      <c r="E6" s="11">
        <v>546</v>
      </c>
      <c r="F6" s="11">
        <v>9.7069597059999992</v>
      </c>
    </row>
    <row r="7" spans="2:6" x14ac:dyDescent="0.3">
      <c r="C7" s="16"/>
    </row>
    <row r="8" spans="2:6" x14ac:dyDescent="0.3">
      <c r="C8" s="17"/>
    </row>
    <row r="9" spans="2:6" x14ac:dyDescent="0.3">
      <c r="C9" s="16"/>
    </row>
    <row r="10" spans="2:6" x14ac:dyDescent="0.3">
      <c r="C10" s="17"/>
    </row>
    <row r="11" spans="2:6" x14ac:dyDescent="0.3">
      <c r="C11" s="16"/>
    </row>
    <row r="12" spans="2:6" x14ac:dyDescent="0.3">
      <c r="C12" s="17"/>
    </row>
    <row r="13" spans="2:6" x14ac:dyDescent="0.3">
      <c r="C13"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Sheet4</vt:lpstr>
      <vt:lpstr>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Kulkarni</dc:creator>
  <cp:lastModifiedBy>Chinmay Kulkarni</cp:lastModifiedBy>
  <dcterms:created xsi:type="dcterms:W3CDTF">2026-03-06T17:25:37Z</dcterms:created>
  <dcterms:modified xsi:type="dcterms:W3CDTF">2026-04-11T18:26:19Z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fb72a02e-5de3-401c-bb44-733aede514f9</vt:lpwstr>
  </property>
</Properties>
</file>